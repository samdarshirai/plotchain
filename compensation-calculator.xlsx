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tes &amp; Slabs" sheetId="2" state="visible" r:id="rId2"/>
    <sheet name="Round 1 Example" sheetId="3" state="visible" r:id="rId3"/>
    <sheet name="Round 2 Example" sheetId="4" state="visible" r:id="rId4"/>
    <sheet name="Calculator (Your Number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7">
    <font>
      <name val="Calibri"/>
      <family val="2"/>
      <color theme="1"/>
      <sz val="11"/>
      <scheme val="minor"/>
    </font>
    <font>
      <b val="1"/>
      <color rgb="001F3A5C"/>
      <sz val="14"/>
    </font>
    <font>
      <i val="1"/>
      <color rgb="00666666"/>
      <sz val="9"/>
    </font>
    <font>
      <b val="1"/>
      <color rgb="00FFFFFF"/>
    </font>
    <font>
      <b val="1"/>
    </font>
    <font>
      <b val="1"/>
      <color rgb="001F3A5C"/>
      <sz val="13"/>
    </font>
    <font>
      <b val="1"/>
      <color rgb="009C3B1F"/>
    </font>
  </fonts>
  <fills count="7">
    <fill>
      <patternFill/>
    </fill>
    <fill>
      <patternFill patternType="gray125"/>
    </fill>
    <fill>
      <patternFill patternType="solid">
        <fgColor rgb="001F3A5C"/>
      </patternFill>
    </fill>
    <fill>
      <patternFill patternType="solid">
        <fgColor rgb="00F3E9D5"/>
      </patternFill>
    </fill>
    <fill>
      <patternFill patternType="solid">
        <fgColor rgb="00FDECEC"/>
      </patternFill>
    </fill>
    <fill>
      <patternFill patternType="solid">
        <fgColor rgb="00FFFDE7"/>
      </patternFill>
    </fill>
    <fill>
      <patternFill patternType="solid">
        <fgColor rgb="00E7ED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2" fillId="3" borderId="0" pivotButton="0" quotePrefix="0" xfId="0"/>
    <xf numFmtId="164" fontId="4" fillId="0" borderId="0" pivotButton="0" quotePrefix="0" xfId="0"/>
    <xf numFmtId="0" fontId="0" fillId="4" borderId="0" pivotButton="0" quotePrefix="0" xfId="0"/>
    <xf numFmtId="0" fontId="2" fillId="4" borderId="0" pivotButton="0" quotePrefix="0" xfId="0"/>
    <xf numFmtId="164" fontId="0" fillId="5" borderId="0" pivotButton="0" quotePrefix="0" xfId="0"/>
    <xf numFmtId="0" fontId="0" fillId="5" borderId="0" pivotButton="0" quotePrefix="0" xfId="0"/>
    <xf numFmtId="0" fontId="4" fillId="6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>
      <c r="B1" s="1" t="inlineStr">
        <is>
          <t>Samvardhani Compensation Calculator</t>
        </is>
      </c>
    </row>
    <row r="2" ht="16" customHeight="1">
      <c r="B2" s="2" t="inlineStr"/>
    </row>
    <row r="3" ht="30" customHeight="1">
      <c r="B3" s="2" t="inlineStr">
        <is>
          <t>Companion spreadsheet to compensation-plan-reference.md in this repo. Use it to manually verify the app's calculated payouts against expected values, and as a source of test fixtures for backend unit tests.</t>
        </is>
      </c>
    </row>
    <row r="4" ht="16" customHeight="1">
      <c r="B4" s="2" t="inlineStr"/>
    </row>
    <row r="5" ht="16" customHeight="1">
      <c r="B5" s="3" t="inlineStr">
        <is>
          <t>Sheets:</t>
        </is>
      </c>
    </row>
    <row r="6" ht="30" customHeight="1">
      <c r="B6" s="2" t="inlineStr">
        <is>
          <t xml:space="preserve">  Rates &amp; Slabs — every percentage, deduction, and tier threshold, editable. Every other sheet formula-references this one — change a rate here and every example/calculation recalculates.</t>
        </is>
      </c>
    </row>
    <row r="7" ht="30" customHeight="1">
      <c r="B7" s="2" t="inlineStr">
        <is>
          <t xml:space="preserve">  Round 1 Example — the two-sponsee worked example from the guide, reproduced with live formulas. Expected total: ₹2,05,000 + Smart Watch.</t>
        </is>
      </c>
    </row>
    <row r="8" ht="30" customHeight="1">
      <c r="B8" s="2" t="inlineStr">
        <is>
          <t xml:space="preserve">  Round 2 Example — the four-grandchild worked example, reproduced with live formulas. Expected total: ₹4,48,490 + Smart Watch + Manali + Goa (using the volume-slab Royalty reading — see the discrepancy note below).</t>
        </is>
      </c>
    </row>
    <row r="9" ht="30" customHeight="1">
      <c r="B9" s="2" t="inlineStr">
        <is>
          <t xml:space="preserve">  Calculator (Your Numbers) — blank input cells (yellow) for pasting in real test values from the app; computes gross, TDS, admin charge, and net for each income line.</t>
        </is>
      </c>
    </row>
    <row r="10" ht="16" customHeight="1">
      <c r="B10" s="2" t="inlineStr"/>
    </row>
    <row r="11" ht="16" customHeight="1">
      <c r="B11" s="4" t="inlineStr">
        <is>
          <t>⚠️ KNOWN DISCREPANCY — read before trusting Royalty Bonus numbers:</t>
        </is>
      </c>
    </row>
    <row r="12" ht="30" customHeight="1">
      <c r="B12" s="2" t="inlineStr">
        <is>
          <t>The source PDFs describe Royalty Bonus as keyed to a volume slab on THIS CLOSING's new matched business (see the Royalty Bonus table on the Rates &amp; Slabs sheet). The already-implemented backend (CycleService.creditRoyalty(), see compensation-plan-reference.md §5) instead looks up Royalty by the associate's RANK, via RoyaltyBonusRateRepository. These are two different formulas and will disagree for real associates. This spreadsheet implements the volume-slab (PDF) formula only — it CANNOT reproduce the rank-keyed formula without also knowing each associate's rank and the plan's rank→rate table, which isn't in the source PDFs. Get this resolved with whoever owns the compensation plan before treating either number as final for Royalty Bonus test assertions.</t>
        </is>
      </c>
    </row>
    <row r="13" ht="16" customHeight="1">
      <c r="B13" s="2" t="inlineStr"/>
    </row>
    <row r="14" ht="16" customHeight="1">
      <c r="B14" s="4" t="inlineStr">
        <is>
          <t>Also flagged in compensation-plan-reference.md §8:</t>
        </is>
      </c>
    </row>
    <row r="15" ht="16" customHeight="1">
      <c r="B15" s="2" t="inlineStr">
        <is>
          <t xml:space="preserve">  - No documented base commission for a personal sale under 2,000 sqft.</t>
        </is>
      </c>
    </row>
    <row r="16" ht="30" customHeight="1">
      <c r="B16" s="2" t="inlineStr">
        <is>
          <t xml:space="preserve">  - Round 1's ₹15,000 reward is paid on a ₹10L pair even though the reward ladder's first tier is ₹5L — reproduced as-is from the source, not corrected.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30" customWidth="1" min="4" max="4"/>
    <col width="16" customWidth="1" min="5" max="5"/>
    <col width="14" customWidth="1" min="6" max="6"/>
  </cols>
  <sheetData>
    <row r="1">
      <c r="B1" s="1" t="inlineStr">
        <is>
          <t>Samvardhani Compensation Plan — Rates &amp; Slabs</t>
        </is>
      </c>
    </row>
    <row r="2">
      <c r="B2" s="5" t="inlineStr">
        <is>
          <t>Edit the values in this sheet — every other sheet recalculates from these cells.</t>
        </is>
      </c>
    </row>
    <row r="4">
      <c r="B4" s="6" t="inlineStr">
        <is>
          <t>Flat rates</t>
        </is>
      </c>
      <c r="C4" s="6" t="n"/>
    </row>
    <row r="5">
      <c r="B5" t="inlineStr">
        <is>
          <t>Direct Income %</t>
        </is>
      </c>
      <c r="C5" s="7" t="n">
        <v>0.06</v>
      </c>
    </row>
    <row r="6">
      <c r="B6" t="inlineStr">
        <is>
          <t>Matching Income %</t>
        </is>
      </c>
      <c r="C6" s="7" t="n">
        <v>0.07000000000000001</v>
      </c>
    </row>
    <row r="7">
      <c r="B7" t="inlineStr">
        <is>
          <t>Sponsor's Matching Bonus %</t>
        </is>
      </c>
      <c r="C7" s="7" t="n">
        <v>0.11</v>
      </c>
    </row>
    <row r="8">
      <c r="B8" t="inlineStr">
        <is>
          <t>Self-Performance Bonus — 2,000 sqft+ closing (extra %)</t>
        </is>
      </c>
      <c r="C8" s="7" t="n">
        <v>0.01</v>
      </c>
    </row>
    <row r="9">
      <c r="B9" t="inlineStr">
        <is>
          <t>Self-Performance Bonus — 3,000 sqft+ closing (extra %)</t>
        </is>
      </c>
      <c r="C9" s="7" t="n">
        <v>0.02</v>
      </c>
    </row>
    <row r="10">
      <c r="B10" t="inlineStr">
        <is>
          <t>TDS %</t>
        </is>
      </c>
      <c r="C10" s="7" t="n">
        <v>0.02</v>
      </c>
    </row>
    <row r="11">
      <c r="B11" t="inlineStr">
        <is>
          <t>Admin Charge — PAN on file %</t>
        </is>
      </c>
      <c r="C11" s="7" t="n">
        <v>0.05</v>
      </c>
    </row>
    <row r="12">
      <c r="B12" t="inlineStr">
        <is>
          <t>Admin Charge — no PAN on file %</t>
        </is>
      </c>
      <c r="C12" s="7" t="n">
        <v>0.15</v>
      </c>
    </row>
    <row r="13">
      <c r="B13" t="inlineStr">
        <is>
          <t>ID Activation Fee (₹, one-time)</t>
        </is>
      </c>
      <c r="C13" s="8" t="n">
        <v>1100</v>
      </c>
    </row>
    <row r="15">
      <c r="B15" s="6" t="inlineStr">
        <is>
          <t>Royalty Bonus — new matched business this closing</t>
        </is>
      </c>
      <c r="C15" s="6" t="n"/>
    </row>
    <row r="16">
      <c r="B16" s="9" t="inlineStr">
        <is>
          <t>Matched volume ≥</t>
        </is>
      </c>
      <c r="C16" s="9" t="inlineStr">
        <is>
          <t>Royalty %</t>
        </is>
      </c>
    </row>
    <row r="17">
      <c r="B17" s="8" t="n">
        <v>2000000</v>
      </c>
      <c r="C17" s="7" t="n">
        <v>0.01</v>
      </c>
    </row>
    <row r="18">
      <c r="B18" s="8" t="n">
        <v>4000000</v>
      </c>
      <c r="C18" s="7" t="n">
        <v>0.015</v>
      </c>
    </row>
    <row r="19">
      <c r="B19" s="8" t="n">
        <v>8000000</v>
      </c>
      <c r="C19" s="7" t="n">
        <v>0.02</v>
      </c>
    </row>
    <row r="20">
      <c r="B20" s="8" t="n">
        <v>15000000</v>
      </c>
      <c r="C20" s="7" t="n">
        <v>0.025</v>
      </c>
    </row>
    <row r="21">
      <c r="B21" s="8" t="n">
        <v>30000000</v>
      </c>
      <c r="C21" s="7" t="n">
        <v>0.03</v>
      </c>
    </row>
    <row r="22" ht="30" customHeight="1">
      <c r="B22" s="5" t="inlineStr">
        <is>
          <t>Source note: "Royalty Bonus will Calculate on the Bonus of New Matching Business in a Single Closing." This is volume-slab-keyed, NOT rank-keyed — see README and compensation-plan-reference.md §5 for a discrepancy against the implemented app logic, which is rank-keyed.</t>
        </is>
      </c>
    </row>
    <row r="24">
      <c r="B24" s="6" t="inlineStr">
        <is>
          <t>Reward Income ladder — cumulative matched business, one-time per tier</t>
        </is>
      </c>
      <c r="C24" s="6" t="n"/>
      <c r="D24" s="6" t="n"/>
      <c r="E24" s="6" t="n"/>
    </row>
    <row r="25">
      <c r="B25" s="9" t="inlineStr">
        <is>
          <t>Cumulative matched ≥</t>
        </is>
      </c>
      <c r="C25" s="9" t="inlineStr">
        <is>
          <t>Designation</t>
        </is>
      </c>
      <c r="D25" s="9" t="inlineStr">
        <is>
          <t>Cash reward</t>
        </is>
      </c>
      <c r="E25" s="9" t="inlineStr">
        <is>
          <t>Perk</t>
        </is>
      </c>
    </row>
    <row r="26">
      <c r="B26" s="8" t="n">
        <v>500000</v>
      </c>
      <c r="C26" t="inlineStr">
        <is>
          <t>Sales Associate</t>
        </is>
      </c>
      <c r="D26" s="8" t="n">
        <v>15000</v>
      </c>
      <c r="E26" t="inlineStr">
        <is>
          <t>Smart Watch</t>
        </is>
      </c>
    </row>
    <row r="27">
      <c r="B27" s="8" t="n">
        <v>1000000</v>
      </c>
      <c r="C27" t="inlineStr">
        <is>
          <t>Sales Executive</t>
        </is>
      </c>
      <c r="D27" s="8" t="n">
        <v>20000</v>
      </c>
      <c r="E27" t="inlineStr">
        <is>
          <t>Manali, 2N/3D</t>
        </is>
      </c>
    </row>
    <row r="28">
      <c r="B28" s="8" t="n">
        <v>2000000</v>
      </c>
      <c r="C28" t="inlineStr">
        <is>
          <t>Senior Sales Executive</t>
        </is>
      </c>
      <c r="D28" s="8" t="n">
        <v>45000</v>
      </c>
      <c r="E28" t="inlineStr">
        <is>
          <t>Goa, 3N/4D</t>
        </is>
      </c>
    </row>
    <row r="29">
      <c r="B29" s="8" t="n">
        <v>4000000</v>
      </c>
      <c r="C29" t="inlineStr">
        <is>
          <t>Sales Manager</t>
        </is>
      </c>
      <c r="D29" s="8" t="n">
        <v>90000</v>
      </c>
      <c r="E29" t="inlineStr">
        <is>
          <t>Thailand, 4N/5D</t>
        </is>
      </c>
    </row>
    <row r="30">
      <c r="B30" s="8" t="n">
        <v>8000000</v>
      </c>
      <c r="C30" t="inlineStr">
        <is>
          <t>Senior Sales Manager</t>
        </is>
      </c>
      <c r="D30" s="8" t="n">
        <v>180000</v>
      </c>
      <c r="E30" t="inlineStr">
        <is>
          <t>Dubai, 5N/6D</t>
        </is>
      </c>
    </row>
    <row r="31">
      <c r="B31" s="8" t="n">
        <v>15000000</v>
      </c>
      <c r="C31" t="inlineStr">
        <is>
          <t>Territory Manager</t>
        </is>
      </c>
      <c r="D31" s="8" t="n">
        <v>400000</v>
      </c>
      <c r="E31" t="inlineStr">
        <is>
          <t>or a mini car</t>
        </is>
      </c>
    </row>
    <row r="32">
      <c r="B32" s="8" t="n">
        <v>30000000</v>
      </c>
      <c r="C32" t="inlineStr">
        <is>
          <t>Chief Manager</t>
        </is>
      </c>
      <c r="D32" s="8" t="n">
        <v>800000</v>
      </c>
      <c r="E32" t="inlineStr">
        <is>
          <t>or a big car</t>
        </is>
      </c>
    </row>
    <row r="33">
      <c r="B33" s="8" t="n">
        <v>60000000</v>
      </c>
      <c r="C33" t="inlineStr">
        <is>
          <t>Assistant General Manager</t>
        </is>
      </c>
      <c r="D33" s="8" t="n">
        <v>1600000</v>
      </c>
      <c r="E33" t="inlineStr">
        <is>
          <t>or a premium car</t>
        </is>
      </c>
    </row>
    <row r="34">
      <c r="B34" s="8" t="n">
        <v>120000000</v>
      </c>
      <c r="C34" t="inlineStr">
        <is>
          <t>General Manager</t>
        </is>
      </c>
      <c r="D34" s="8" t="n">
        <v>3200000</v>
      </c>
      <c r="E34" t="inlineStr">
        <is>
          <t>or a luxury car</t>
        </is>
      </c>
    </row>
    <row r="35">
      <c r="B35" s="8" t="n">
        <v>250000000</v>
      </c>
      <c r="C35" t="inlineStr">
        <is>
          <t>Vice President</t>
        </is>
      </c>
      <c r="D35" s="8" t="n">
        <v>6400000</v>
      </c>
      <c r="E35" t="inlineStr">
        <is>
          <t>or a 2BHK flat</t>
        </is>
      </c>
    </row>
    <row r="36">
      <c r="B36" s="8" t="n">
        <v>500000000</v>
      </c>
      <c r="C36" t="inlineStr">
        <is>
          <t>President</t>
        </is>
      </c>
      <c r="D36" s="8" t="n">
        <v>15000000</v>
      </c>
      <c r="E36" t="inlineStr">
        <is>
          <t>or a bungalow</t>
        </is>
      </c>
    </row>
    <row r="37">
      <c r="B37" s="8" t="n">
        <v>1000000000</v>
      </c>
      <c r="C37" t="inlineStr">
        <is>
          <t>Sales Director</t>
        </is>
      </c>
      <c r="D37" s="8" t="n">
        <v>30000000</v>
      </c>
      <c r="E37" t="inlineStr">
        <is>
          <t>+ 5% profit share</t>
        </is>
      </c>
    </row>
    <row r="39">
      <c r="B39" s="5" t="inlineStr">
        <is>
          <t>A tier is awarded once, ever, the first cycle it's crossed — matches the implemented app's RewardTier logic (checked without a cycleId filter).</t>
        </is>
      </c>
    </row>
  </sheetData>
  <mergeCells count="2">
    <mergeCell ref="B39:F39"/>
    <mergeCell ref="B22:F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46" customWidth="1" min="3" max="3"/>
    <col width="18" customWidth="1" min="4" max="4"/>
  </cols>
  <sheetData>
    <row r="1">
      <c r="B1" s="10" t="inlineStr">
        <is>
          <t>Round 1 — A and B each close a sale</t>
        </is>
      </c>
    </row>
    <row r="2">
      <c r="B2" s="5" t="inlineStr">
        <is>
          <t>Matches compensation-plan-reference.md §6, Round 1.</t>
        </is>
      </c>
    </row>
    <row r="4">
      <c r="B4" s="6" t="inlineStr">
        <is>
          <t>Inputs</t>
        </is>
      </c>
      <c r="C4" s="6" t="n"/>
      <c r="D4" s="6" t="n"/>
    </row>
    <row r="5">
      <c r="B5" t="inlineStr">
        <is>
          <t>A's sale amount</t>
        </is>
      </c>
      <c r="C5" s="8" t="n">
        <v>1000000</v>
      </c>
    </row>
    <row r="6">
      <c r="B6" t="inlineStr">
        <is>
          <t>B's sale amount</t>
        </is>
      </c>
      <c r="C6" s="8" t="n">
        <v>1000000</v>
      </c>
    </row>
    <row r="8">
      <c r="B8" s="6" t="inlineStr">
        <is>
          <t>Calculated income</t>
        </is>
      </c>
      <c r="C8" s="6" t="n"/>
      <c r="D8" s="6" t="n"/>
    </row>
    <row r="9">
      <c r="B9" t="inlineStr">
        <is>
          <t>Direct Income</t>
        </is>
      </c>
      <c r="C9" s="8">
        <f>('Round 1 Example'!$C$5*'Rates &amp; Slabs'!$C$5)+('Round 1 Example'!$C$6*'Rates &amp; Slabs'!$C$5)</f>
        <v/>
      </c>
      <c r="D9" s="5" t="inlineStr">
        <is>
          <t>6% of A's sale + 6% of B's sale</t>
        </is>
      </c>
    </row>
    <row r="10">
      <c r="B10" t="inlineStr">
        <is>
          <t>Matched volume (min of the two)</t>
        </is>
      </c>
      <c r="C10" s="8">
        <f>MIN('Round 1 Example'!$C$5,'Round 1 Example'!$C$6)</f>
        <v/>
      </c>
    </row>
    <row r="11">
      <c r="B11" t="inlineStr">
        <is>
          <t>Matching Income</t>
        </is>
      </c>
      <c r="C11" s="8">
        <f>'Round 1 Example'!$C$10*'Rates &amp; Slabs'!$C$6</f>
        <v/>
      </c>
      <c r="D11" s="5" t="inlineStr">
        <is>
          <t>7% of the matched volume above</t>
        </is>
      </c>
    </row>
    <row r="12">
      <c r="B12" t="inlineStr">
        <is>
          <t>Reward Income (per source's own worked example)</t>
        </is>
      </c>
      <c r="C12" s="8" t="n">
        <v>15000</v>
      </c>
      <c r="D12" s="5" t="inlineStr">
        <is>
          <t>Source pays the ₹5L-tier reward (₹15,000 + Smart Watch) here even though the matched volume is ₹10L, not ₹5L — reproduced as-is; see reference doc §8, gap #2.</t>
        </is>
      </c>
    </row>
    <row r="14">
      <c r="B14" s="6" t="inlineStr">
        <is>
          <t>Total</t>
        </is>
      </c>
      <c r="C14" s="6" t="n"/>
      <c r="D14" s="6" t="n"/>
    </row>
    <row r="15">
      <c r="B15" s="11" t="inlineStr">
        <is>
          <t>Total after Round 1</t>
        </is>
      </c>
      <c r="C15" s="12">
        <f>'Round 1 Example'!$C$9+'Round 1 Example'!$C$11+'Round 1 Example'!$C$12</f>
        <v/>
      </c>
      <c r="D15" s="13" t="inlineStr">
        <is>
          <t>+ Smart Watch (perk, not cash)</t>
        </is>
      </c>
    </row>
    <row r="17">
      <c r="B17" s="5" t="inlineStr">
        <is>
          <t>Expected total: ₹2,05,000 + Smart Watch. If your app returns something else for these exact inputs, that's a real mismatch to investigate.</t>
        </is>
      </c>
    </row>
  </sheetData>
  <mergeCells count="1"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46" customWidth="1" min="3" max="3"/>
    <col width="20" customWidth="1" min="4" max="4"/>
  </cols>
  <sheetData>
    <row r="1">
      <c r="B1" s="10" t="inlineStr">
        <is>
          <t>Round 2 — A and B's own teams start selling</t>
        </is>
      </c>
    </row>
    <row r="2">
      <c r="B2" s="5" t="inlineStr">
        <is>
          <t>Matches compensation-plan-reference.md §6, Round 2.</t>
        </is>
      </c>
    </row>
    <row r="4">
      <c r="B4" s="6" t="inlineStr">
        <is>
          <t>Inputs</t>
        </is>
      </c>
      <c r="C4" s="6" t="n"/>
      <c r="D4" s="6" t="n"/>
    </row>
    <row r="5">
      <c r="B5" t="inlineStr">
        <is>
          <t>C's sale (under A, left)</t>
        </is>
      </c>
      <c r="C5" s="8" t="n">
        <v>3000000</v>
      </c>
    </row>
    <row r="6">
      <c r="B6" t="inlineStr">
        <is>
          <t>D's sale (under A, right)</t>
        </is>
      </c>
      <c r="C6" s="8" t="n">
        <v>2000000</v>
      </c>
    </row>
    <row r="7">
      <c r="B7" t="inlineStr">
        <is>
          <t>E's sale (under B, left)</t>
        </is>
      </c>
      <c r="C7" s="8" t="n">
        <v>2300000</v>
      </c>
    </row>
    <row r="8">
      <c r="B8" t="inlineStr">
        <is>
          <t>F's sale (under B, right)</t>
        </is>
      </c>
      <c r="C8" s="8" t="n">
        <v>1700000</v>
      </c>
    </row>
    <row r="10">
      <c r="B10" s="6" t="inlineStr">
        <is>
          <t>Leg totals</t>
        </is>
      </c>
      <c r="C10" s="6" t="n"/>
      <c r="D10" s="6" t="n"/>
    </row>
    <row r="11">
      <c r="B11" t="inlineStr">
        <is>
          <t>Your Left Leg total (C + D)</t>
        </is>
      </c>
      <c r="C11" s="8">
        <f>'Round 2 Example'!$C$5+'Round 2 Example'!$C$6</f>
        <v/>
      </c>
    </row>
    <row r="12">
      <c r="B12" t="inlineStr">
        <is>
          <t>Your Right Leg total (E + F)</t>
        </is>
      </c>
      <c r="C12" s="8">
        <f>'Round 2 Example'!$C$7+'Round 2 Example'!$C$8</f>
        <v/>
      </c>
    </row>
    <row r="14">
      <c r="B14" s="6" t="inlineStr">
        <is>
          <t>Your income</t>
        </is>
      </c>
      <c r="C14" s="6" t="n"/>
      <c r="D14" s="6" t="n"/>
    </row>
    <row r="15">
      <c r="B15" t="inlineStr">
        <is>
          <t>Your matched volume</t>
        </is>
      </c>
      <c r="C15" s="8">
        <f>MIN('Round 2 Example'!$C$11,'Round 2 Example'!$C$12)</f>
        <v/>
      </c>
    </row>
    <row r="16">
      <c r="B16" t="inlineStr">
        <is>
          <t>Your Matching Income</t>
        </is>
      </c>
      <c r="C16" s="8">
        <f>'Round 2 Example'!$C$15*'Rates &amp; Slabs'!$C$6</f>
        <v/>
      </c>
    </row>
    <row r="18">
      <c r="B18" s="6" t="inlineStr">
        <is>
          <t>A and B's own Matching Income (intermediate)</t>
        </is>
      </c>
      <c r="C18" s="6" t="n"/>
      <c r="D18" s="6" t="n"/>
    </row>
    <row r="19">
      <c r="B19" t="inlineStr">
        <is>
          <t>A's matched volume (min of C, D)</t>
        </is>
      </c>
      <c r="C19" s="8">
        <f>MIN('Round 2 Example'!$C$5,'Round 2 Example'!$C$6)</f>
        <v/>
      </c>
    </row>
    <row r="20">
      <c r="B20" t="inlineStr">
        <is>
          <t>A's Matching Income</t>
        </is>
      </c>
      <c r="C20" s="8">
        <f>C19*'Rates &amp; Slabs'!$C$6</f>
        <v/>
      </c>
    </row>
    <row r="21">
      <c r="B21" t="inlineStr">
        <is>
          <t>B's matched volume (min of E, F)</t>
        </is>
      </c>
      <c r="C21" s="8">
        <f>MIN('Round 2 Example'!$C$7,'Round 2 Example'!$C$8)</f>
        <v/>
      </c>
    </row>
    <row r="22">
      <c r="B22" t="inlineStr">
        <is>
          <t>B's Matching Income</t>
        </is>
      </c>
      <c r="C22" s="8">
        <f>C21*'Rates &amp; Slabs'!$C$6</f>
        <v/>
      </c>
    </row>
    <row r="24">
      <c r="B24" s="6" t="inlineStr">
        <is>
          <t>Your Sponsor's Matching Bonus</t>
        </is>
      </c>
      <c r="C24" s="6" t="n"/>
      <c r="D24" s="6" t="n"/>
    </row>
    <row r="25">
      <c r="B25" t="inlineStr">
        <is>
          <t>From A (11% of A's Matching Income)</t>
        </is>
      </c>
      <c r="C25" s="8">
        <f>'Round 2 Example'!$C$20*'Rates &amp; Slabs'!$C$7</f>
        <v/>
      </c>
    </row>
    <row r="26">
      <c r="B26" t="inlineStr">
        <is>
          <t>From B (11% of B's Matching Income)</t>
        </is>
      </c>
      <c r="C26" s="8">
        <f>'Round 2 Example'!$C$22*'Rates &amp; Slabs'!$C$7</f>
        <v/>
      </c>
    </row>
    <row r="27">
      <c r="B27" s="9" t="inlineStr">
        <is>
          <t>Total Sponsor's Matching Bonus</t>
        </is>
      </c>
      <c r="C27" s="14">
        <f>'Round 2 Example'!$C$25+'Round 2 Example'!$C$26</f>
        <v/>
      </c>
    </row>
    <row r="29">
      <c r="B29" s="6" t="inlineStr">
        <is>
          <t>Royalty Bonus — two competing formulas (see §5 discrepancy)</t>
        </is>
      </c>
      <c r="C29" s="6" t="n"/>
      <c r="D29" s="6" t="n"/>
    </row>
    <row r="30">
      <c r="B30" t="inlineStr">
        <is>
          <t>Royalty Bonus — volume-slab method (per source PDFs)</t>
        </is>
      </c>
      <c r="C30" s="8">
        <f>IFERROR(VLOOKUP('Round 2 Example'!$C$15,'Rates &amp; Slabs'!$B$17:$C$21,2,TRUE),0)*'Round 2 Example'!$C$15</f>
        <v/>
      </c>
    </row>
    <row r="31">
      <c r="B31" s="15" t="inlineStr">
        <is>
          <t>Royalty Bonus — rank-keyed method (as implemented in the app)</t>
        </is>
      </c>
      <c r="C31" s="16" t="inlineStr">
        <is>
          <t>Depends on rankId — not computable from volume alone</t>
        </is>
      </c>
    </row>
    <row r="33">
      <c r="B33" s="6" t="inlineStr">
        <is>
          <t>Reward Income (cumulative, per source's own worked example)</t>
        </is>
      </c>
      <c r="C33" s="6" t="n"/>
      <c r="D33" s="6" t="n"/>
    </row>
    <row r="34">
      <c r="B34" t="inlineStr">
        <is>
          <t>Level 1 (₹5L tier)</t>
        </is>
      </c>
      <c r="C34" s="8" t="n">
        <v>15000</v>
      </c>
    </row>
    <row r="35">
      <c r="B35" t="inlineStr">
        <is>
          <t>Level 2 (₹10L tier)</t>
        </is>
      </c>
      <c r="C35" s="8" t="n">
        <v>20000</v>
      </c>
    </row>
    <row r="36">
      <c r="B36" t="inlineStr">
        <is>
          <t>Level 3 (₹20L tier)</t>
        </is>
      </c>
      <c r="C36" s="8" t="n">
        <v>45000</v>
      </c>
    </row>
    <row r="37">
      <c r="B37" s="9" t="inlineStr">
        <is>
          <t>Total Reward Income</t>
        </is>
      </c>
      <c r="C37" s="14">
        <f>SUM(C34:C36)</f>
        <v/>
      </c>
    </row>
    <row r="39">
      <c r="B39" s="6" t="inlineStr">
        <is>
          <t>Total (using volume-slab Royalty)</t>
        </is>
      </c>
      <c r="C39" s="6" t="n"/>
      <c r="D39" s="6" t="n"/>
    </row>
    <row r="40">
      <c r="B40" s="11" t="inlineStr">
        <is>
          <t>Total after Round 2</t>
        </is>
      </c>
      <c r="C40" s="12">
        <f>'Round 2 Example'!$C$16+'Round 2 Example'!$C$27+'Round 2 Example'!$C$30+'Round 2 Example'!$C$37</f>
        <v/>
      </c>
      <c r="D40" s="13" t="inlineStr">
        <is>
          <t>+ Smart Watch + Manali + Goa (perks, not cash)</t>
        </is>
      </c>
    </row>
    <row r="42">
      <c r="B42" s="5" t="inlineStr">
        <is>
          <t>Expected total: ₹4,48,490 + Smart Watch + Manali + Goa (using the volume-slab Royalty reading). If the app uses rank-keyed Royalty instead, this total won't match — that's the §5 discrepancy, not a spreadsheet bug.</t>
        </is>
      </c>
    </row>
  </sheetData>
  <mergeCells count="1">
    <mergeCell ref="B42:D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46" customWidth="1" min="3" max="3"/>
    <col width="30" customWidth="1" min="4" max="4"/>
  </cols>
  <sheetData>
    <row r="1">
      <c r="B1" s="10" t="inlineStr">
        <is>
          <t>Calculator — plug in real numbers, compare against the app</t>
        </is>
      </c>
    </row>
    <row r="2">
      <c r="B2" s="5" t="inlineStr">
        <is>
          <t>Same shape as Round 2. Type test values from your app into the yellow cells.</t>
        </is>
      </c>
    </row>
    <row r="4">
      <c r="B4" s="6" t="inlineStr">
        <is>
          <t>Inputs — type your test values here</t>
        </is>
      </c>
      <c r="C4" s="6" t="n"/>
      <c r="D4" s="6" t="n"/>
    </row>
    <row r="5">
      <c r="B5" t="inlineStr">
        <is>
          <t>C's sale (under A, left)</t>
        </is>
      </c>
      <c r="C5" s="17" t="n">
        <v>0</v>
      </c>
    </row>
    <row r="6">
      <c r="B6" t="inlineStr">
        <is>
          <t>D's sale (under A, right)</t>
        </is>
      </c>
      <c r="C6" s="17" t="n">
        <v>0</v>
      </c>
    </row>
    <row r="7">
      <c r="B7" t="inlineStr">
        <is>
          <t>E's sale (under B, left)</t>
        </is>
      </c>
      <c r="C7" s="17" t="n">
        <v>0</v>
      </c>
    </row>
    <row r="8">
      <c r="B8" t="inlineStr">
        <is>
          <t>F's sale (under B, right)</t>
        </is>
      </c>
      <c r="C8" s="17" t="n">
        <v>0</v>
      </c>
    </row>
    <row r="10">
      <c r="B10" t="inlineStr">
        <is>
          <t>Associate has PAN on file? (TRUE/FALSE)</t>
        </is>
      </c>
      <c r="C10" s="18" t="b">
        <v>1</v>
      </c>
    </row>
    <row r="12">
      <c r="B12" s="6" t="inlineStr">
        <is>
          <t>Leg totals</t>
        </is>
      </c>
      <c r="C12" s="6" t="n"/>
      <c r="D12" s="6" t="n"/>
    </row>
    <row r="13">
      <c r="B13" t="inlineStr">
        <is>
          <t>Left Leg total</t>
        </is>
      </c>
      <c r="C13" s="8">
        <f>'Calculator (Your Numbers)'!$C$5+'Calculator (Your Numbers)'!$C$6</f>
        <v/>
      </c>
    </row>
    <row r="14">
      <c r="B14" t="inlineStr">
        <is>
          <t>Right Leg total</t>
        </is>
      </c>
      <c r="C14" s="8">
        <f>'Calculator (Your Numbers)'!$C$7+'Calculator (Your Numbers)'!$C$8</f>
        <v/>
      </c>
    </row>
    <row r="16">
      <c r="B16" s="6" t="inlineStr">
        <is>
          <t>Calculated income — gross</t>
        </is>
      </c>
      <c r="C16" s="6" t="n"/>
      <c r="D16" s="6" t="n"/>
    </row>
    <row r="17">
      <c r="B17" t="inlineStr">
        <is>
          <t>Your matched volume</t>
        </is>
      </c>
      <c r="C17" s="8">
        <f>MIN('Calculator (Your Numbers)'!$C$13,'Calculator (Your Numbers)'!$C$14)</f>
        <v/>
      </c>
    </row>
    <row r="18">
      <c r="B18" t="inlineStr">
        <is>
          <t>Your Matching Income (gross)</t>
        </is>
      </c>
      <c r="C18" s="8">
        <f>'Calculator (Your Numbers)'!$C$17*'Rates &amp; Slabs'!$C$6</f>
        <v/>
      </c>
    </row>
    <row r="19">
      <c r="B19" t="inlineStr">
        <is>
          <t>A's matched volume</t>
        </is>
      </c>
      <c r="C19" s="8">
        <f>MIN('Calculator (Your Numbers)'!$C$5,'Calculator (Your Numbers)'!$C$6)</f>
        <v/>
      </c>
    </row>
    <row r="20">
      <c r="B20" t="inlineStr">
        <is>
          <t>A's Matching Income</t>
        </is>
      </c>
      <c r="C20" s="8">
        <f>C19*'Rates &amp; Slabs'!$C$6</f>
        <v/>
      </c>
    </row>
    <row r="21">
      <c r="B21" t="inlineStr">
        <is>
          <t>B's matched volume</t>
        </is>
      </c>
      <c r="C21" s="8">
        <f>MIN('Calculator (Your Numbers)'!$C$7,'Calculator (Your Numbers)'!$C$8)</f>
        <v/>
      </c>
    </row>
    <row r="22">
      <c r="B22" t="inlineStr">
        <is>
          <t>B's Matching Income</t>
        </is>
      </c>
      <c r="C22" s="8">
        <f>C21*'Rates &amp; Slabs'!$C$6</f>
        <v/>
      </c>
    </row>
    <row r="23">
      <c r="B23" t="inlineStr">
        <is>
          <t>Sponsor's Matching Bonus (gross)</t>
        </is>
      </c>
      <c r="C23" s="8">
        <f>('Calculator (Your Numbers)'!$C$20*'Rates &amp; Slabs'!$C$7)+('Calculator (Your Numbers)'!$C$22*'Rates &amp; Slabs'!$C$7)</f>
        <v/>
      </c>
    </row>
    <row r="24">
      <c r="B24" t="inlineStr">
        <is>
          <t>Royalty Bonus (gross, volume-slab method)</t>
        </is>
      </c>
      <c r="C24" s="8">
        <f>IFERROR(VLOOKUP('Calculator (Your Numbers)'!$C$17,'Rates &amp; Slabs'!$B$17:$C$21,2,TRUE),0)*'Calculator (Your Numbers)'!$C$17</f>
        <v/>
      </c>
    </row>
    <row r="25">
      <c r="B25" t="inlineStr">
        <is>
          <t>Reward: designation unlocked at this cumulative volume</t>
        </is>
      </c>
      <c r="C25">
        <f>IFERROR(VLOOKUP('Calculator (Your Numbers)'!$C$17,'Rates &amp; Slabs'!$B$26:$E$37,2,TRUE),"—")</f>
        <v/>
      </c>
    </row>
    <row r="26">
      <c r="B26" t="inlineStr">
        <is>
          <t>Reward: cash (one-time, if newly crossed)</t>
        </is>
      </c>
      <c r="C26" s="8">
        <f>IFERROR(VLOOKUP('Calculator (Your Numbers)'!$C$17,'Rates &amp; Slabs'!$B$26:$E$37,3,TRUE),0)</f>
        <v/>
      </c>
    </row>
    <row r="27">
      <c r="B27" t="inlineStr">
        <is>
          <t>Reward: perk</t>
        </is>
      </c>
      <c r="C27">
        <f>IFERROR(VLOOKUP('Calculator (Your Numbers)'!$C$17,'Rates &amp; Slabs'!$B$26:$E$37,4,TRUE),"—")</f>
        <v/>
      </c>
    </row>
    <row r="29">
      <c r="B29" s="6" t="inlineStr">
        <is>
          <t>Deductions &amp; net (applied per income line)</t>
        </is>
      </c>
      <c r="C29" s="6" t="n"/>
      <c r="D29" s="6" t="n"/>
    </row>
    <row r="30">
      <c r="B30" t="inlineStr">
        <is>
          <t>Applicable admin charge %</t>
        </is>
      </c>
      <c r="C30" s="7">
        <f>IF('Calculator (Your Numbers)'!$C$10,'Rates &amp; Slabs'!$C$11,'Rates &amp; Slabs'!$C$12)</f>
        <v/>
      </c>
    </row>
    <row r="32">
      <c r="B32" s="19" t="inlineStr">
        <is>
          <t>Income line</t>
        </is>
      </c>
      <c r="C32" s="19" t="inlineStr">
        <is>
          <t>Gross</t>
        </is>
      </c>
      <c r="D32" s="19" t="inlineStr">
        <is>
          <t>TDS (2%)</t>
        </is>
      </c>
      <c r="E32" s="19" t="inlineStr">
        <is>
          <t>Admin charge</t>
        </is>
      </c>
      <c r="F32" s="19" t="inlineStr">
        <is>
          <t>Net</t>
        </is>
      </c>
    </row>
    <row r="33">
      <c r="B33" t="inlineStr">
        <is>
          <t>Matching Income</t>
        </is>
      </c>
      <c r="C33" s="8">
        <f>'Calculator (Your Numbers)'!$C$18</f>
        <v/>
      </c>
      <c r="D33" s="8">
        <f>'Calculator (Your Numbers)'!$C$33*'Rates &amp; Slabs'!$C$10</f>
        <v/>
      </c>
      <c r="E33" s="8">
        <f>'Calculator (Your Numbers)'!$C$33*'Calculator (Your Numbers)'!$C$30</f>
        <v/>
      </c>
      <c r="F33" s="8">
        <f>'Calculator (Your Numbers)'!$C$33-D33-E33</f>
        <v/>
      </c>
    </row>
    <row r="34">
      <c r="B34" t="inlineStr">
        <is>
          <t>Sponsor's Matching Bonus</t>
        </is>
      </c>
      <c r="C34" s="8">
        <f>'Calculator (Your Numbers)'!$C$23</f>
        <v/>
      </c>
      <c r="D34" s="8">
        <f>'Calculator (Your Numbers)'!$C$34*'Rates &amp; Slabs'!$C$10</f>
        <v/>
      </c>
      <c r="E34" s="8">
        <f>'Calculator (Your Numbers)'!$C$34*'Calculator (Your Numbers)'!$C$30</f>
        <v/>
      </c>
      <c r="F34" s="8">
        <f>'Calculator (Your Numbers)'!$C$34-D34-E34</f>
        <v/>
      </c>
    </row>
    <row r="35">
      <c r="B35" t="inlineStr">
        <is>
          <t>Royalty Bonus</t>
        </is>
      </c>
      <c r="C35" s="8">
        <f>'Calculator (Your Numbers)'!$C$24</f>
        <v/>
      </c>
      <c r="D35" s="8">
        <f>'Calculator (Your Numbers)'!$C$35*'Rates &amp; Slabs'!$C$10</f>
        <v/>
      </c>
      <c r="E35" s="8">
        <f>'Calculator (Your Numbers)'!$C$35*'Calculator (Your Numbers)'!$C$30</f>
        <v/>
      </c>
      <c r="F35" s="8">
        <f>'Calculator (Your Numbers)'!$C$35-D35-E35</f>
        <v/>
      </c>
    </row>
    <row r="36">
      <c r="B36" t="inlineStr">
        <is>
          <t>Reward Income (cash portion)</t>
        </is>
      </c>
      <c r="C36" s="8">
        <f>'Calculator (Your Numbers)'!$C$26</f>
        <v/>
      </c>
      <c r="D36" s="8">
        <f>'Calculator (Your Numbers)'!$C$36*'Rates &amp; Slabs'!$C$10</f>
        <v/>
      </c>
      <c r="E36" s="8">
        <f>'Calculator (Your Numbers)'!$C$36*'Calculator (Your Numbers)'!$C$30</f>
        <v/>
      </c>
      <c r="F36" s="8">
        <f>'Calculator (Your Numbers)'!$C$36-D36-E36</f>
        <v/>
      </c>
    </row>
    <row r="37">
      <c r="B37" s="11" t="inlineStr">
        <is>
          <t>Total net payable this cycle</t>
        </is>
      </c>
      <c r="C37" s="20" t="n"/>
      <c r="D37" s="20" t="n"/>
      <c r="E37" s="20" t="n"/>
      <c r="F37" s="12">
        <f>SUM(F33,F34,F35,F36)</f>
        <v/>
      </c>
    </row>
    <row r="39">
      <c r="B39" s="5" t="inlineStr">
        <is>
          <t>Compare each net figure above against what your app's income statement / ledger shows for the same test inputs. A mismatch on any single line narrows down exactly which formula to check first.</t>
        </is>
      </c>
    </row>
  </sheetData>
  <mergeCells count="1">
    <mergeCell ref="B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2026-08-16T06:55:10Z</dcterms:created>
  <dcterms:modified xsi:type="dcterms:W3CDTF">2026-08-16T06:55:10Z</dcterms:modified>
</cp:coreProperties>
</file>